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fe6bc0858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a901616328c4b22"/>
    <x:sheet xmlns:r="http://schemas.openxmlformats.org/officeDocument/2006/relationships" name="Admissions" sheetId="2" r:id="R07daaeab6e924c91"/>
    <x:sheet xmlns:r="http://schemas.openxmlformats.org/officeDocument/2006/relationships" name="12M_Forecast" sheetId="3" r:id="Re9faa1b81a4c422f"/>
    <x:sheet xmlns:r="http://schemas.openxmlformats.org/officeDocument/2006/relationships" name="Dashboard" sheetId="4" r:id="Re7ebc4f26847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$#,##0;[Red]($#,##0);-"/>
    <x:numFmt numFmtId="202" formatCode="0%"/>
    <x:numFmt numFmtId="203" formatCode="#,##0;[Red](#,##0);-"/>
    <x:numFmt numFmtId="204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2" fontId="4" fillId="5" borderId="1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203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204" fontId="4" fillId="5" borderId="0" xfId="0" applyNumberFormat="1" applyFont="1" applyFill="1" applyBorder="1" applyAlignment="1">
      <x:alignment wrapText="1"/>
    </x:xf>
    <x:xf numFmtId="204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201" fontId="5" fillId="7" borderId="0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wrapText="1"/>
    </x:xf>
    <x:xf numFmtId="203" fontId="5" fillId="9" borderId="0" xfId="0" applyNumberFormat="1" applyFont="1" applyFill="1" applyBorder="1" applyAlignment="1">
      <x:alignment wrapText="1"/>
    </x:xf>
    <x:xf numFmtId="201" fontId="5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203" fontId="5" fillId="9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wrapText="1"/>
    </x:xf>
    <x:xf numFmtId="203" fontId="5" fillId="9" borderId="1" xfId="0" applyNumberFormat="1" applyFont="1" applyFill="1" applyBorder="1" applyAlignment="1">
      <x:alignment wrapText="1"/>
    </x:xf>
    <x:xf numFmtId="201" fontId="5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203" fontId="5" fillId="9" borderId="1" xfId="0" applyNumberFormat="1" applyFont="1" applyFill="1" applyBorder="1" applyAlignment="1">
      <x:alignment vertical="center" wrapText="1"/>
    </x:xf>
    <x:xf numFmtId="201" fontId="5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21bac70b64241" /><Relationship Type="http://schemas.openxmlformats.org/officeDocument/2006/relationships/theme" Target="/xl/theme/theme1.xml" Id="R5779f79e530d48ad" /><Relationship Type="http://schemas.openxmlformats.org/officeDocument/2006/relationships/sharedStrings" Target="/xl/sharedStrings.xml" Id="R50af73b0cdac4287" /><Relationship Type="http://schemas.openxmlformats.org/officeDocument/2006/relationships/worksheet" Target="/xl/worksheets/sheet1.xml" Id="Rba901616328c4b22" /><Relationship Type="http://schemas.openxmlformats.org/officeDocument/2006/relationships/worksheet" Target="/xl/worksheets/sheet2.xml" Id="R07daaeab6e924c91" /><Relationship Type="http://schemas.openxmlformats.org/officeDocument/2006/relationships/worksheet" Target="/xl/worksheets/sheet3.xml" Id="Re9faa1b81a4c422f" /><Relationship Type="http://schemas.openxmlformats.org/officeDocument/2006/relationships/worksheet" Target="/xl/worksheets/sheet4.xml" Id="Re7ebc4f268474b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6" t="str">
        <x:v>New Hope School - Startup Financial Model Assumptions</x:v>
      </x:c>
      <x:c r="B1" s="6"/>
      <x:c r="C1" s="6"/>
      <x:c r="D1" s="6"/>
      <x:c r="E1" s="6"/>
      <x:c r="F1" s="6"/>
      <x:c r="G1" s="6"/>
      <x:c r="H1" s="6"/>
    </x:row>
    <x:row r="2" ht="22" customHeight="1">
      <x:c r="A2" s="14" t="str">
        <x:v>Update yellow cells only. This sheet feeds the admissions tracker, forecast, and dashboard.</x:v>
      </x:c>
      <x:c r="B2" s="14"/>
      <x:c r="C2" s="14"/>
      <x:c r="D2" s="14"/>
      <x:c r="E2" s="14"/>
      <x:c r="F2" s="14"/>
      <x:c r="G2" s="14"/>
      <x:c r="H2" s="14"/>
    </x:row>
    <x:row r="4">
      <x:c r="A4" s="22" t="str">
        <x:v>Core Assumptions</x:v>
      </x:c>
      <x:c r="B4" s="22"/>
      <x:c r="C4" s="22"/>
      <x:c r="D4" s="22" t="str">
        <x:v>Monthly Operating Expense Assumptions (USD)</x:v>
      </x:c>
      <x:c r="E4" s="22"/>
      <x:c r="F4" s="22" t="str">
        <x:v>Grade-Level Plan</x:v>
      </x:c>
      <x:c r="G4" s="22"/>
      <x:c r="H4" s="22"/>
    </x:row>
    <x:row r="5">
      <x:c r="A5" t="str">
        <x:v>Start month</x:v>
      </x:c>
      <x:c r="B5" s="34" t="n">
        <x:v>46204</x:v>
      </x:c>
      <x:c r="D5" t="str">
        <x:v>Rent</x:v>
      </x:c>
      <x:c r="E5" s="36" t="n">
        <x:v>0</x:v>
      </x:c>
      <x:c r="F5" s="46" t="str">
        <x:v>Grade</x:v>
      </x:c>
      <x:c r="G5" s="46" t="str">
        <x:v>Opening plan students</x:v>
      </x:c>
      <x:c r="H5" s="46" t="str">
        <x:v>Tuition / student (USD)</x:v>
      </x:c>
    </x:row>
    <x:row r="6">
      <x:c r="A6" t="str">
        <x:v>Monthly owner funding (USD)</x:v>
      </x:c>
      <x:c r="B6" s="36" t="n">
        <x:v>3000</x:v>
      </x:c>
      <x:c r="D6" t="str">
        <x:v>Foreign teacher accommodation</x:v>
      </x:c>
      <x:c r="E6" s="36" t="n">
        <x:v>0</x:v>
      </x:c>
      <x:c r="F6" t="str">
        <x:v>KG1</x:v>
      </x:c>
      <x:c r="G6" s="40" t="n">
        <x:v>0</x:v>
      </x:c>
      <x:c r="H6" s="36" t="n">
        <x:v>75</x:v>
      </x:c>
    </x:row>
    <x:row r="7">
      <x:c r="A7" t="str">
        <x:v>Average tuition per student (USD)</x:v>
      </x:c>
      <x:c r="B7" s="36" t="n">
        <x:v>75</x:v>
      </x:c>
      <x:c r="D7" t="str">
        <x:v>Salaries</x:v>
      </x:c>
      <x:c r="E7" s="86" t="n">
        <x:f>D22</x:f>
        <x:v>0</x:v>
      </x:c>
      <x:c r="F7" t="str">
        <x:v>KG2</x:v>
      </x:c>
      <x:c r="G7" s="40" t="n">
        <x:v>0</x:v>
      </x:c>
      <x:c r="H7" s="36" t="n">
        <x:v>75</x:v>
      </x:c>
    </x:row>
    <x:row r="8">
      <x:c r="A8" t="str">
        <x:v>Tuition collection rate</x:v>
      </x:c>
      <x:c r="B8" s="38" t="n">
        <x:v>0.95</x:v>
      </x:c>
      <x:c r="D8" t="str">
        <x:v>Electricity</x:v>
      </x:c>
      <x:c r="E8" s="36" t="n">
        <x:v>0</x:v>
      </x:c>
      <x:c r="F8" t="str">
        <x:v>Grade 1</x:v>
      </x:c>
      <x:c r="G8" s="40" t="n">
        <x:v>0</x:v>
      </x:c>
      <x:c r="H8" s="36" t="n">
        <x:v>75</x:v>
      </x:c>
    </x:row>
    <x:row r="9">
      <x:c r="A9" t="str">
        <x:v>Current admitted students</x:v>
      </x:c>
      <x:c r="B9" s="40" t="n">
        <x:v>8</x:v>
      </x:c>
      <x:c r="D9" t="str">
        <x:v>Water</x:v>
      </x:c>
      <x:c r="E9" s="36" t="n">
        <x:v>0</x:v>
      </x:c>
      <x:c r="F9" t="str">
        <x:v>Grade 2</x:v>
      </x:c>
      <x:c r="G9" s="40" t="n">
        <x:v>0</x:v>
      </x:c>
      <x:c r="H9" s="36" t="n">
        <x:v>75</x:v>
      </x:c>
    </x:row>
    <x:row r="10">
      <x:c r="A10" t="str">
        <x:v>Target class size</x:v>
      </x:c>
      <x:c r="B10" s="40" t="n">
        <x:v>18</x:v>
      </x:c>
      <x:c r="D10" t="str">
        <x:v>Internet</x:v>
      </x:c>
      <x:c r="E10" s="36" t="n">
        <x:v>0</x:v>
      </x:c>
      <x:c r="F10" t="str">
        <x:v>Grade 3</x:v>
      </x:c>
      <x:c r="G10" s="40" t="n">
        <x:v>0</x:v>
      </x:c>
      <x:c r="H10" s="36" t="n">
        <x:v>75</x:v>
      </x:c>
    </x:row>
    <x:row r="11">
      <x:c r="A11" t="str">
        <x:v>Notes</x:v>
      </x:c>
      <x:c r="B11" s="30" t="str">
        <x:v>KG1, KG2, Grade 1 to Grade 4</x:v>
      </x:c>
      <x:c r="D11" t="str">
        <x:v>Trash</x:v>
      </x:c>
      <x:c r="E11" s="36" t="n">
        <x:v>0</x:v>
      </x:c>
      <x:c r="F11" t="str">
        <x:v>Grade 4</x:v>
      </x:c>
      <x:c r="G11" s="40" t="n">
        <x:v>0</x:v>
      </x:c>
      <x:c r="H11" s="36" t="n">
        <x:v>75</x:v>
      </x:c>
    </x:row>
    <x:row r="12">
      <x:c r="D12" t="str">
        <x:v>Marketing &amp; admissions</x:v>
      </x:c>
      <x:c r="E12" s="36" t="n">
        <x:v>0</x:v>
      </x:c>
    </x:row>
    <x:row r="13">
      <x:c r="A13" s="22" t="str">
        <x:v>Staffing Plan Placeholder</x:v>
      </x:c>
      <x:c r="B13" s="22"/>
      <x:c r="C13" s="22"/>
      <x:c r="D13" s="22" t="str">
        <x:v>Teaching materials</x:v>
      </x:c>
      <x:c r="E13" s="36" t="n">
        <x:v>0</x:v>
      </x:c>
    </x:row>
    <x:row r="14">
      <x:c r="A14" s="46" t="str">
        <x:v>Role</x:v>
      </x:c>
      <x:c r="B14" s="46" t="str">
        <x:v>Headcount</x:v>
      </x:c>
      <x:c r="C14" s="46" t="str">
        <x:v>Monthly salary (USD)</x:v>
      </x:c>
      <x:c r="D14" s="46" t="str">
        <x:v>Monthly total (USD)</x:v>
      </x:c>
      <x:c r="E14" s="36" t="n">
        <x:v>0</x:v>
      </x:c>
    </x:row>
    <x:row r="15">
      <x:c r="A15" t="str">
        <x:v>KG1 teacher</x:v>
      </x:c>
      <x:c r="B15" s="40" t="n">
        <x:v>1</x:v>
      </x:c>
      <x:c r="C15" s="36" t="n">
        <x:v>0</x:v>
      </x:c>
      <x:c r="D15" s="66" t="n">
        <x:f>B15*C15</x:f>
        <x:v>0</x:v>
      </x:c>
    </x:row>
    <x:row r="16">
      <x:c r="A16" t="str">
        <x:v>KG2 teacher</x:v>
      </x:c>
      <x:c r="B16" s="40" t="n">
        <x:v>1</x:v>
      </x:c>
      <x:c r="C16" s="36" t="n">
        <x:v>0</x:v>
      </x:c>
      <x:c r="D16" s="84" t="n">
        <x:f>B16*C16</x:f>
        <x:v>0</x:v>
      </x:c>
      <x:c r="E16" s="54"/>
      <x:c r="F16" s="54"/>
      <x:c r="G16" s="54"/>
      <x:c r="H16" s="54"/>
    </x:row>
    <x:row r="17">
      <x:c r="A17" t="str">
        <x:v>Grade 1 teacher</x:v>
      </x:c>
      <x:c r="B17" s="40" t="n">
        <x:v>1</x:v>
      </x:c>
      <x:c r="C17" s="36" t="n">
        <x:v>0</x:v>
      </x:c>
      <x:c r="D17" s="84" t="n">
        <x:f>B17*C17</x:f>
        <x:v>0</x:v>
      </x:c>
      <x:c r="E17" s="54"/>
      <x:c r="F17" s="54"/>
      <x:c r="G17" s="54"/>
      <x:c r="H17" s="54"/>
    </x:row>
    <x:row r="18">
      <x:c r="A18" t="str">
        <x:v>Grade 2 teacher</x:v>
      </x:c>
      <x:c r="B18" s="40" t="n">
        <x:v>1</x:v>
      </x:c>
      <x:c r="C18" s="36" t="n">
        <x:v>0</x:v>
      </x:c>
      <x:c r="D18" s="84" t="n">
        <x:f>B18*C18</x:f>
        <x:v>0</x:v>
      </x:c>
      <x:c r="E18" s="54"/>
      <x:c r="F18" s="54"/>
      <x:c r="G18" s="54"/>
      <x:c r="H18" s="54"/>
    </x:row>
    <x:row r="19">
      <x:c r="A19" t="str">
        <x:v>Grade 3 teacher</x:v>
      </x:c>
      <x:c r="B19" s="40" t="n">
        <x:v>1</x:v>
      </x:c>
      <x:c r="C19" s="36" t="n">
        <x:v>0</x:v>
      </x:c>
      <x:c r="D19" s="84" t="n">
        <x:f>B19*C19</x:f>
        <x:v>0</x:v>
      </x:c>
      <x:c r="E19" s="54"/>
      <x:c r="F19" s="54"/>
      <x:c r="G19" s="54"/>
      <x:c r="H19" s="54"/>
    </x:row>
    <x:row r="20">
      <x:c r="A20" t="str">
        <x:v>Grade 4 teacher</x:v>
      </x:c>
      <x:c r="B20" s="40" t="n">
        <x:v>1</x:v>
      </x:c>
      <x:c r="C20" s="36" t="n">
        <x:v>0</x:v>
      </x:c>
      <x:c r="D20" s="84" t="n">
        <x:f>B20*C20</x:f>
        <x:v>0</x:v>
      </x:c>
      <x:c r="E20" s="54"/>
      <x:c r="F20" s="54"/>
      <x:c r="G20" s="54"/>
      <x:c r="H20" s="54"/>
    </x:row>
    <x:row r="21">
      <x:c r="A21" t="str">
        <x:v>Support / float teacher</x:v>
      </x:c>
      <x:c r="B21" s="40" t="n">
        <x:v>1</x:v>
      </x:c>
      <x:c r="C21" s="36" t="n">
        <x:v>0</x:v>
      </x:c>
      <x:c r="D21" s="66" t="n">
        <x:f>B21*C21</x:f>
        <x:v>0</x:v>
      </x:c>
    </x:row>
    <x:row r="22">
      <x:c r="A22" s="22" t="str">
        <x:v>Total monthly salaries</x:v>
      </x:c>
      <x:c r="B22" s="22"/>
      <x:c r="C22" s="22"/>
      <x:c r="D22" s="66" t="n">
        <x:f>SUM(D15:D21)</x:f>
        <x:v>0</x:v>
      </x:c>
    </x:row>
  </x:sheetData>
  <x:mergeCells>
    <x:mergeCell ref="A1:H1"/>
    <x:mergeCell ref="A2:H2"/>
    <x:mergeCell ref="A4:D4"/>
    <x:mergeCell ref="D4:H4"/>
    <x:mergeCell ref="A13:D13"/>
    <x:mergeCell ref="F4:H4"/>
    <x:mergeCell ref="D16:H20"/>
    <x:mergeCell ref="A22:C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28" hidden="0" customWidth="1"/>
    <x:col min="10" max="10" width="24" hidden="0" customWidth="1"/>
    <x:col min="11" max="11" width="16" hidden="0" customWidth="1"/>
    <x:col min="12" max="12" width="16" hidden="0" customWidth="1"/>
  </x:cols>
  <x:sheetData>
    <x:row r="1" ht="22" customHeight="1">
      <x:c r="A1" s="6" t="str">
        <x:v>Admissions Season Tracker</x:v>
      </x:c>
      <x:c r="B1" s="6"/>
      <x:c r="C1" s="6"/>
      <x:c r="D1" s="6"/>
      <x:c r="E1" s="6"/>
      <x:c r="F1" s="6"/>
      <x:c r="G1" s="6"/>
      <x:c r="H1" s="6"/>
      <x:c r="J1" s="22" t="str">
        <x:v>Admissions Summary</x:v>
      </x:c>
      <x:c r="K1" s="22"/>
      <x:c r="L1" s="22"/>
    </x:row>
    <x:row r="2" ht="22" customHeight="1">
      <x:c r="A2" s="14" t="str">
        <x:v>Track every lead from inquiry to enrollment by grade and stage.</x:v>
      </x:c>
      <x:c r="B2" s="14"/>
      <x:c r="C2" s="14"/>
      <x:c r="D2" s="14"/>
      <x:c r="E2" s="14"/>
      <x:c r="F2" s="14"/>
      <x:c r="G2" s="14"/>
      <x:c r="H2" s="14"/>
      <x:c r="J2" t="str">
        <x:v>Total leads entered</x:v>
      </x:c>
      <x:c r="K2" s="64" t="n">
        <x:f>COUNTA(C5:C24)</x:f>
        <x:v>0</x:v>
      </x:c>
    </x:row>
    <x:row r="3">
      <x:c r="J3" t="str">
        <x:v>Admitted</x:v>
      </x:c>
      <x:c r="K3" s="64" t="n">
        <x:f>COUNTIF(F5:F24,"Admitted")</x:f>
        <x:v>0</x:v>
      </x:c>
    </x:row>
    <x:row r="4">
      <x:c r="A4" s="46" t="str">
        <x:v>Date</x:v>
      </x:c>
      <x:c r="B4" s="46" t="str">
        <x:v>Grade</x:v>
      </x:c>
      <x:c r="C4" s="46" t="str">
        <x:v>Student / Parent Name</x:v>
      </x:c>
      <x:c r="D4" s="46" t="str">
        <x:v>Phone</x:v>
      </x:c>
      <x:c r="E4" s="46" t="str">
        <x:v>Lead Source</x:v>
      </x:c>
      <x:c r="F4" s="46" t="str">
        <x:v>Stage</x:v>
      </x:c>
      <x:c r="G4" s="46" t="str">
        <x:v>Deposit Paid</x:v>
      </x:c>
      <x:c r="H4" s="46" t="str">
        <x:v>Notes</x:v>
      </x:c>
      <x:c r="J4" t="str">
        <x:v>Enrolled</x:v>
      </x:c>
      <x:c r="K4" s="64" t="n">
        <x:f>COUNTIF(F5:F24,"Enrolled")</x:f>
        <x:v>0</x:v>
      </x:c>
    </x:row>
    <x:row r="5">
      <x:c r="A5" s="58"/>
      <x:c r="B5" s="30"/>
      <x:c r="C5" s="30"/>
      <x:c r="D5" s="30"/>
      <x:c r="E5" s="30"/>
      <x:c r="F5" s="30"/>
      <x:c r="G5" s="36"/>
      <x:c r="H5" s="30"/>
      <x:c r="J5" t="str">
        <x:v>Deposits collected</x:v>
      </x:c>
      <x:c r="K5" s="66" t="n">
        <x:f>SUM(G5:G24)</x:f>
        <x:v>0</x:v>
      </x:c>
    </x:row>
    <x:row r="6">
      <x:c r="A6" s="58"/>
      <x:c r="B6" s="30"/>
      <x:c r="C6" s="30"/>
      <x:c r="D6" s="30"/>
      <x:c r="E6" s="30"/>
      <x:c r="F6" s="30"/>
      <x:c r="G6" s="36"/>
      <x:c r="H6" s="30"/>
      <x:c r="J6" t="str">
        <x:v>Conversion target</x:v>
      </x:c>
      <x:c r="K6" s="38" t="n">
        <x:v>0.4</x:v>
      </x:c>
    </x:row>
    <x:row r="7">
      <x:c r="A7" s="58"/>
      <x:c r="B7" s="30"/>
      <x:c r="C7" s="30"/>
      <x:c r="D7" s="30"/>
      <x:c r="E7" s="30"/>
      <x:c r="F7" s="30"/>
      <x:c r="G7" s="36"/>
      <x:c r="H7" s="30"/>
    </x:row>
    <x:row r="8">
      <x:c r="A8" s="58"/>
      <x:c r="B8" s="30"/>
      <x:c r="C8" s="30"/>
      <x:c r="D8" s="30"/>
      <x:c r="E8" s="30"/>
      <x:c r="F8" s="30"/>
      <x:c r="G8" s="36"/>
      <x:c r="H8" s="30"/>
    </x:row>
    <x:row r="9">
      <x:c r="A9" s="58"/>
      <x:c r="B9" s="30"/>
      <x:c r="C9" s="30"/>
      <x:c r="D9" s="30"/>
      <x:c r="E9" s="30"/>
      <x:c r="F9" s="30"/>
      <x:c r="G9" s="36"/>
      <x:c r="H9" s="30"/>
    </x:row>
    <x:row r="10">
      <x:c r="A10" s="58"/>
      <x:c r="B10" s="30"/>
      <x:c r="C10" s="30"/>
      <x:c r="D10" s="30"/>
      <x:c r="E10" s="30"/>
      <x:c r="F10" s="30"/>
      <x:c r="G10" s="36"/>
      <x:c r="H10" s="30"/>
    </x:row>
    <x:row r="11">
      <x:c r="A11" s="58"/>
      <x:c r="B11" s="30"/>
      <x:c r="C11" s="30"/>
      <x:c r="D11" s="30"/>
      <x:c r="E11" s="30"/>
      <x:c r="F11" s="30"/>
      <x:c r="G11" s="36"/>
      <x:c r="H11" s="30"/>
    </x:row>
    <x:row r="12">
      <x:c r="A12" s="58"/>
      <x:c r="B12" s="30"/>
      <x:c r="C12" s="30"/>
      <x:c r="D12" s="30"/>
      <x:c r="E12" s="30"/>
      <x:c r="F12" s="30"/>
      <x:c r="G12" s="36"/>
      <x:c r="H12" s="30"/>
    </x:row>
    <x:row r="13">
      <x:c r="A13" s="58"/>
      <x:c r="B13" s="30"/>
      <x:c r="C13" s="30"/>
      <x:c r="D13" s="30"/>
      <x:c r="E13" s="30"/>
      <x:c r="F13" s="30"/>
      <x:c r="G13" s="36"/>
      <x:c r="H13" s="30"/>
    </x:row>
    <x:row r="14">
      <x:c r="A14" s="58"/>
      <x:c r="B14" s="30"/>
      <x:c r="C14" s="30"/>
      <x:c r="D14" s="30"/>
      <x:c r="E14" s="30"/>
      <x:c r="F14" s="30"/>
      <x:c r="G14" s="36"/>
      <x:c r="H14" s="30"/>
    </x:row>
    <x:row r="15">
      <x:c r="A15" s="58"/>
      <x:c r="B15" s="30"/>
      <x:c r="C15" s="30"/>
      <x:c r="D15" s="30"/>
      <x:c r="E15" s="30"/>
      <x:c r="F15" s="30"/>
      <x:c r="G15" s="36"/>
      <x:c r="H15" s="30"/>
    </x:row>
    <x:row r="16">
      <x:c r="A16" s="58"/>
      <x:c r="B16" s="30"/>
      <x:c r="C16" s="30"/>
      <x:c r="D16" s="30"/>
      <x:c r="E16" s="30"/>
      <x:c r="F16" s="30"/>
      <x:c r="G16" s="36"/>
      <x:c r="H16" s="30"/>
    </x:row>
    <x:row r="17">
      <x:c r="A17" s="58"/>
      <x:c r="B17" s="30"/>
      <x:c r="C17" s="30"/>
      <x:c r="D17" s="30"/>
      <x:c r="E17" s="30"/>
      <x:c r="F17" s="30"/>
      <x:c r="G17" s="36"/>
      <x:c r="H17" s="30"/>
    </x:row>
    <x:row r="18">
      <x:c r="A18" s="58"/>
      <x:c r="B18" s="30"/>
      <x:c r="C18" s="30"/>
      <x:c r="D18" s="30"/>
      <x:c r="E18" s="30"/>
      <x:c r="F18" s="30"/>
      <x:c r="G18" s="36"/>
      <x:c r="H18" s="30"/>
    </x:row>
    <x:row r="19">
      <x:c r="A19" s="58"/>
      <x:c r="B19" s="30"/>
      <x:c r="C19" s="30"/>
      <x:c r="D19" s="30"/>
      <x:c r="E19" s="30"/>
      <x:c r="F19" s="30"/>
      <x:c r="G19" s="36"/>
      <x:c r="H19" s="30"/>
    </x:row>
    <x:row r="20">
      <x:c r="A20" s="58"/>
      <x:c r="B20" s="30"/>
      <x:c r="C20" s="30"/>
      <x:c r="D20" s="30"/>
      <x:c r="E20" s="30"/>
      <x:c r="F20" s="30"/>
      <x:c r="G20" s="36"/>
      <x:c r="H20" s="30"/>
    </x:row>
    <x:row r="21">
      <x:c r="A21" s="58"/>
      <x:c r="B21" s="30"/>
      <x:c r="C21" s="30"/>
      <x:c r="D21" s="30"/>
      <x:c r="E21" s="30"/>
      <x:c r="F21" s="30"/>
      <x:c r="G21" s="36"/>
      <x:c r="H21" s="30"/>
    </x:row>
    <x:row r="22">
      <x:c r="A22" s="58"/>
      <x:c r="B22" s="30"/>
      <x:c r="C22" s="30"/>
      <x:c r="D22" s="30"/>
      <x:c r="E22" s="30"/>
      <x:c r="F22" s="30"/>
      <x:c r="G22" s="36"/>
      <x:c r="H22" s="30"/>
    </x:row>
    <x:row r="23">
      <x:c r="A23" s="58"/>
      <x:c r="B23" s="30"/>
      <x:c r="C23" s="30"/>
      <x:c r="D23" s="30"/>
      <x:c r="E23" s="30"/>
      <x:c r="F23" s="30"/>
      <x:c r="G23" s="36"/>
      <x:c r="H23" s="30"/>
    </x:row>
    <x:row r="24">
      <x:c r="A24" s="58"/>
      <x:c r="B24" s="30"/>
      <x:c r="C24" s="30"/>
      <x:c r="D24" s="30"/>
      <x:c r="E24" s="30"/>
      <x:c r="F24" s="30"/>
      <x:c r="G24" s="36"/>
      <x:c r="H24" s="30"/>
    </x:row>
  </x:sheetData>
  <x:mergeCells>
    <x:mergeCell ref="A1:H1"/>
    <x:mergeCell ref="A2:H2"/>
    <x:mergeCell ref="J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5" max="15" width="22" hidden="0" customWidth="1"/>
    <x:col min="16" max="16" width="14" hidden="0" customWidth="1"/>
  </x:cols>
  <x:sheetData>
    <x:row r="1" ht="22" customHeight="1">
      <x:c r="A1" s="6" t="str">
        <x:v>New Hope 12-Month Financial Forecast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2" customHeight="1">
      <x:c r="A2" s="14" t="str">
        <x:v>Roll this forward each month by copying the next 12 months and updating the yellow inputs.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>
      <x:c r="A4" s="46" t="str">
        <x:v>Metric</x:v>
      </x:c>
      <x:c r="B4" s="46" t="str">
        <x:v>Month 1</x:v>
      </x:c>
      <x:c r="C4" s="46" t="str">
        <x:v>Month 2</x:v>
      </x:c>
      <x:c r="D4" s="46" t="str">
        <x:v>Month 3</x:v>
      </x:c>
      <x:c r="E4" s="46" t="str">
        <x:v>Month 4</x:v>
      </x:c>
      <x:c r="F4" s="46" t="str">
        <x:v>Month 5</x:v>
      </x:c>
      <x:c r="G4" s="46" t="str">
        <x:v>Month 6</x:v>
      </x:c>
      <x:c r="H4" s="46" t="str">
        <x:v>Month 7</x:v>
      </x:c>
      <x:c r="I4" s="46" t="str">
        <x:v>Month 8</x:v>
      </x:c>
      <x:c r="J4" s="46" t="str">
        <x:v>Month 9</x:v>
      </x:c>
      <x:c r="K4" s="46" t="str">
        <x:v>Month 10</x:v>
      </x:c>
      <x:c r="L4" s="46" t="str">
        <x:v>Month 11</x:v>
      </x:c>
      <x:c r="M4" s="46" t="str">
        <x:v>Month 12</x:v>
      </x:c>
      <x:c r="O4" s="22" t="str">
        <x:v>Break-even Snapshot</x:v>
      </x:c>
      <x:c r="P4" s="22"/>
    </x:row>
    <x:row r="5">
      <x:c r="A5" s="22" t="str">
        <x:v>Revenue / Enrollment</x:v>
      </x:c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O5" t="str">
        <x:v>Monthly fixed expenses</x:v>
      </x:c>
      <x:c r="P5" s="66" t="n">
        <x:f>SUM(Assumptions!$E$5:$E$14)</x:f>
        <x:v>0</x:v>
      </x:c>
    </x:row>
    <x:row r="6">
      <x:c r="A6" t="str">
        <x:v>Opening students</x:v>
      </x:c>
      <x:c r="B6" s="70" t="n">
        <x:f>Assumptions!$B$9</x:f>
        <x:v>8</x:v>
      </x:c>
      <x:c r="C6" s="70" t="n">
        <x:f>B8</x:f>
        <x:v>13</x:v>
      </x:c>
      <x:c r="D6" s="70" t="n">
        <x:f>C8</x:f>
        <x:v>19</x:v>
      </x:c>
      <x:c r="E6" s="70" t="n">
        <x:f>D8</x:f>
        <x:v>26</x:v>
      </x:c>
      <x:c r="F6" s="70" t="n">
        <x:f>E8</x:f>
        <x:v>34</x:v>
      </x:c>
      <x:c r="G6" s="70" t="n">
        <x:f>F8</x:f>
        <x:v>42</x:v>
      </x:c>
      <x:c r="H6" s="70" t="n">
        <x:f>G8</x:f>
        <x:v>50</x:v>
      </x:c>
      <x:c r="I6" s="70" t="n">
        <x:f>H8</x:f>
        <x:v>57</x:v>
      </x:c>
      <x:c r="J6" s="70" t="n">
        <x:f>I8</x:f>
        <x:v>64</x:v>
      </x:c>
      <x:c r="K6" s="70" t="n">
        <x:f>J8</x:f>
        <x:v>70</x:v>
      </x:c>
      <x:c r="L6" s="70" t="n">
        <x:f>K8</x:f>
        <x:v>75</x:v>
      </x:c>
      <x:c r="M6" s="70" t="n">
        <x:f>L8</x:f>
        <x:v>80</x:v>
      </x:c>
      <x:c r="O6" t="str">
        <x:v>Tuition per student</x:v>
      </x:c>
      <x:c r="P6" s="66" t="n">
        <x:f>Assumptions!$B$7</x:f>
        <x:v>75</x:v>
      </x:c>
    </x:row>
    <x:row r="7">
      <x:c r="A7" t="str">
        <x:v>New admissions</x:v>
      </x:c>
      <x:c r="B7" s="40" t="n">
        <x:v>5</x:v>
      </x:c>
      <x:c r="C7" s="40" t="n">
        <x:v>6</x:v>
      </x:c>
      <x:c r="D7" s="40" t="n">
        <x:v>7</x:v>
      </x:c>
      <x:c r="E7" s="40" t="n">
        <x:v>8</x:v>
      </x:c>
      <x:c r="F7" s="40" t="n">
        <x:v>8</x:v>
      </x:c>
      <x:c r="G7" s="40" t="n">
        <x:v>8</x:v>
      </x:c>
      <x:c r="H7" s="40" t="n">
        <x:v>7</x:v>
      </x:c>
      <x:c r="I7" s="40" t="n">
        <x:v>7</x:v>
      </x:c>
      <x:c r="J7" s="40" t="n">
        <x:v>6</x:v>
      </x:c>
      <x:c r="K7" s="40" t="n">
        <x:v>5</x:v>
      </x:c>
      <x:c r="L7" s="40" t="n">
        <x:v>5</x:v>
      </x:c>
      <x:c r="M7" s="40" t="n">
        <x:v>5</x:v>
      </x:c>
      <x:c r="O7" t="str">
        <x:v>Collection rate</x:v>
      </x:c>
      <x:c r="P7" s="76" t="n">
        <x:f>Assumptions!$B$8</x:f>
        <x:v>0.95</x:v>
      </x:c>
    </x:row>
    <x:row r="8">
      <x:c r="A8" t="str">
        <x:v>Ending students</x:v>
      </x:c>
      <x:c r="B8" s="72" t="n">
        <x:f>B6+B7</x:f>
        <x:v>13</x:v>
      </x:c>
      <x:c r="C8" s="72" t="n">
        <x:f>C6+C7</x:f>
        <x:v>19</x:v>
      </x:c>
      <x:c r="D8" s="72" t="n">
        <x:f>D6+D7</x:f>
        <x:v>26</x:v>
      </x:c>
      <x:c r="E8" s="72" t="n">
        <x:f>E6+E7</x:f>
        <x:v>34</x:v>
      </x:c>
      <x:c r="F8" s="72" t="n">
        <x:f>F6+F7</x:f>
        <x:v>42</x:v>
      </x:c>
      <x:c r="G8" s="72" t="n">
        <x:f>G6+G7</x:f>
        <x:v>50</x:v>
      </x:c>
      <x:c r="H8" s="72" t="n">
        <x:f>H6+H7</x:f>
        <x:v>57</x:v>
      </x:c>
      <x:c r="I8" s="72" t="n">
        <x:f>I6+I7</x:f>
        <x:v>64</x:v>
      </x:c>
      <x:c r="J8" s="72" t="n">
        <x:f>J6+J7</x:f>
        <x:v>70</x:v>
      </x:c>
      <x:c r="K8" s="72" t="n">
        <x:f>K6+K7</x:f>
        <x:v>75</x:v>
      </x:c>
      <x:c r="L8" s="72" t="n">
        <x:f>L6+L7</x:f>
        <x:v>80</x:v>
      </x:c>
      <x:c r="M8" s="72" t="n">
        <x:f>M6+M7</x:f>
        <x:v>85</x:v>
      </x:c>
      <x:c r="O8" t="str">
        <x:v>Break-even students</x:v>
      </x:c>
      <x:c r="P8" s="64" t="str">
        <x:f>IF(P5=0,"Enter expense assumptions",P5/(P6*P7))</x:f>
        <x:v>Enter expense assumptions</x:v>
      </x:c>
    </x:row>
    <x:row r="9">
      <x:c r="A9" t="str">
        <x:v>Tuition per student</x:v>
      </x:c>
      <x:c r="B9" s="70" t="n">
        <x:f>Assumptions!$B$7</x:f>
        <x:v>75</x:v>
      </x:c>
      <x:c r="C9" s="70" t="n">
        <x:f>Assumptions!$B$7</x:f>
        <x:v>75</x:v>
      </x:c>
      <x:c r="D9" s="70" t="n">
        <x:f>Assumptions!$B$7</x:f>
        <x:v>75</x:v>
      </x:c>
      <x:c r="E9" s="70" t="n">
        <x:f>Assumptions!$B$7</x:f>
        <x:v>75</x:v>
      </x:c>
      <x:c r="F9" s="70" t="n">
        <x:f>Assumptions!$B$7</x:f>
        <x:v>75</x:v>
      </x:c>
      <x:c r="G9" s="70" t="n">
        <x:f>Assumptions!$B$7</x:f>
        <x:v>75</x:v>
      </x:c>
      <x:c r="H9" s="70" t="n">
        <x:f>Assumptions!$B$7</x:f>
        <x:v>75</x:v>
      </x:c>
      <x:c r="I9" s="70" t="n">
        <x:f>Assumptions!$B$7</x:f>
        <x:v>75</x:v>
      </x:c>
      <x:c r="J9" s="70" t="n">
        <x:f>Assumptions!$B$7</x:f>
        <x:v>75</x:v>
      </x:c>
      <x:c r="K9" s="70" t="n">
        <x:f>Assumptions!$B$7</x:f>
        <x:v>75</x:v>
      </x:c>
      <x:c r="L9" s="70" t="n">
        <x:f>Assumptions!$B$7</x:f>
        <x:v>75</x:v>
      </x:c>
      <x:c r="M9" s="70" t="n">
        <x:f>Assumptions!$B$7</x:f>
        <x:v>75</x:v>
      </x:c>
    </x:row>
    <x:row r="10">
      <x:c r="A10" t="str">
        <x:v>Collection rate</x:v>
      </x:c>
      <x:c r="B10" s="74" t="n">
        <x:f>Assumptions!$B$8</x:f>
        <x:v>0.95</x:v>
      </x:c>
      <x:c r="C10" s="74" t="n">
        <x:f>Assumptions!$B$8</x:f>
        <x:v>0.95</x:v>
      </x:c>
      <x:c r="D10" s="74" t="n">
        <x:f>Assumptions!$B$8</x:f>
        <x:v>0.95</x:v>
      </x:c>
      <x:c r="E10" s="74" t="n">
        <x:f>Assumptions!$B$8</x:f>
        <x:v>0.95</x:v>
      </x:c>
      <x:c r="F10" s="74" t="n">
        <x:f>Assumptions!$B$8</x:f>
        <x:v>0.95</x:v>
      </x:c>
      <x:c r="G10" s="74" t="n">
        <x:f>Assumptions!$B$8</x:f>
        <x:v>0.95</x:v>
      </x:c>
      <x:c r="H10" s="74" t="n">
        <x:f>Assumptions!$B$8</x:f>
        <x:v>0.95</x:v>
      </x:c>
      <x:c r="I10" s="74" t="n">
        <x:f>Assumptions!$B$8</x:f>
        <x:v>0.95</x:v>
      </x:c>
      <x:c r="J10" s="74" t="n">
        <x:f>Assumptions!$B$8</x:f>
        <x:v>0.95</x:v>
      </x:c>
      <x:c r="K10" s="74" t="n">
        <x:f>Assumptions!$B$8</x:f>
        <x:v>0.95</x:v>
      </x:c>
      <x:c r="L10" s="74" t="n">
        <x:f>Assumptions!$B$8</x:f>
        <x:v>0.95</x:v>
      </x:c>
      <x:c r="M10" s="74" t="n">
        <x:f>Assumptions!$B$8</x:f>
        <x:v>0.95</x:v>
      </x:c>
    </x:row>
    <x:row r="11">
      <x:c r="A11" t="str">
        <x:v>Tuition revenue</x:v>
      </x:c>
      <x:c r="B11" s="70" t="n">
        <x:f>B8*B9*B10</x:f>
        <x:v>926.25</x:v>
      </x:c>
      <x:c r="C11" s="70" t="n">
        <x:f>C8*C9*C10</x:f>
        <x:v>1353.75</x:v>
      </x:c>
      <x:c r="D11" s="70" t="n">
        <x:f>D8*D9*D10</x:f>
        <x:v>1852.5</x:v>
      </x:c>
      <x:c r="E11" s="70" t="n">
        <x:f>E8*E9*E10</x:f>
        <x:v>2422.5</x:v>
      </x:c>
      <x:c r="F11" s="70" t="n">
        <x:f>F8*F9*F10</x:f>
        <x:v>2992.5</x:v>
      </x:c>
      <x:c r="G11" s="70" t="n">
        <x:f>G8*G9*G10</x:f>
        <x:v>3562.5</x:v>
      </x:c>
      <x:c r="H11" s="70" t="n">
        <x:f>H8*H9*H10</x:f>
        <x:v>4061.25</x:v>
      </x:c>
      <x:c r="I11" s="70" t="n">
        <x:f>I8*I9*I10</x:f>
        <x:v>4560</x:v>
      </x:c>
      <x:c r="J11" s="70" t="n">
        <x:f>J8*J9*J10</x:f>
        <x:v>4987.5</x:v>
      </x:c>
      <x:c r="K11" s="70" t="n">
        <x:f>K8*K9*K10</x:f>
        <x:v>5343.75</x:v>
      </x:c>
      <x:c r="L11" s="70" t="n">
        <x:f>L8*L9*L10</x:f>
        <x:v>5700</x:v>
      </x:c>
      <x:c r="M11" s="70" t="n">
        <x:f>M8*M9*M10</x:f>
        <x:v>6056.25</x:v>
      </x:c>
    </x:row>
    <x:row r="12">
      <x:c r="A12" t="str">
        <x:v>Owner funding</x:v>
      </x:c>
      <x:c r="B12" s="70" t="n">
        <x:f>Assumptions!$B$6</x:f>
        <x:v>3000</x:v>
      </x:c>
      <x:c r="C12" s="70" t="n">
        <x:f>Assumptions!$B$6</x:f>
        <x:v>3000</x:v>
      </x:c>
      <x:c r="D12" s="70" t="n">
        <x:f>Assumptions!$B$6</x:f>
        <x:v>3000</x:v>
      </x:c>
      <x:c r="E12" s="70" t="n">
        <x:f>Assumptions!$B$6</x:f>
        <x:v>3000</x:v>
      </x:c>
      <x:c r="F12" s="70" t="n">
        <x:f>Assumptions!$B$6</x:f>
        <x:v>3000</x:v>
      </x:c>
      <x:c r="G12" s="70" t="n">
        <x:f>Assumptions!$B$6</x:f>
        <x:v>3000</x:v>
      </x:c>
      <x:c r="H12" s="70" t="n">
        <x:f>Assumptions!$B$6</x:f>
        <x:v>3000</x:v>
      </x:c>
      <x:c r="I12" s="70" t="n">
        <x:f>Assumptions!$B$6</x:f>
        <x:v>3000</x:v>
      </x:c>
      <x:c r="J12" s="70" t="n">
        <x:f>Assumptions!$B$6</x:f>
        <x:v>3000</x:v>
      </x:c>
      <x:c r="K12" s="70" t="n">
        <x:f>Assumptions!$B$6</x:f>
        <x:v>3000</x:v>
      </x:c>
      <x:c r="L12" s="70" t="n">
        <x:f>Assumptions!$B$6</x:f>
        <x:v>3000</x:v>
      </x:c>
      <x:c r="M12" s="70" t="n">
        <x:f>Assumptions!$B$6</x:f>
        <x:v>3000</x:v>
      </x:c>
    </x:row>
    <x:row r="13">
      <x:c r="A13" t="str">
        <x:v>Total income</x:v>
      </x:c>
      <x:c r="B13" s="70" t="n">
        <x:f>B11+B12</x:f>
        <x:v>3926.25</x:v>
      </x:c>
      <x:c r="C13" s="70" t="n">
        <x:f>C11+C12</x:f>
        <x:v>4353.75</x:v>
      </x:c>
      <x:c r="D13" s="70" t="n">
        <x:f>D11+D12</x:f>
        <x:v>4852.5</x:v>
      </x:c>
      <x:c r="E13" s="70" t="n">
        <x:f>E11+E12</x:f>
        <x:v>5422.5</x:v>
      </x:c>
      <x:c r="F13" s="70" t="n">
        <x:f>F11+F12</x:f>
        <x:v>5992.5</x:v>
      </x:c>
      <x:c r="G13" s="70" t="n">
        <x:f>G11+G12</x:f>
        <x:v>6562.5</x:v>
      </x:c>
      <x:c r="H13" s="70" t="n">
        <x:f>H11+H12</x:f>
        <x:v>7061.25</x:v>
      </x:c>
      <x:c r="I13" s="70" t="n">
        <x:f>I11+I12</x:f>
        <x:v>7560</x:v>
      </x:c>
      <x:c r="J13" s="70" t="n">
        <x:f>J11+J12</x:f>
        <x:v>7987.5</x:v>
      </x:c>
      <x:c r="K13" s="70" t="n">
        <x:f>K11+K12</x:f>
        <x:v>8343.75</x:v>
      </x:c>
      <x:c r="L13" s="70" t="n">
        <x:f>L11+L12</x:f>
        <x:v>8700</x:v>
      </x:c>
      <x:c r="M13" s="70" t="n">
        <x:f>M11+M12</x:f>
        <x:v>9056.25</x:v>
      </x:c>
    </x:row>
    <x:row r="15">
      <x:c r="A15" s="22" t="str">
        <x:v>Expenses</x:v>
      </x:c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</x:row>
    <x:row r="16">
      <x:c r="A16" t="str">
        <x:v>Rent</x:v>
      </x:c>
      <x:c r="B16" s="70" t="n">
        <x:f>Assumptions!$E$5</x:f>
        <x:v>0</x:v>
      </x:c>
      <x:c r="C16" s="70" t="n">
        <x:f>Assumptions!$E$5</x:f>
        <x:v>0</x:v>
      </x:c>
      <x:c r="D16" s="70" t="n">
        <x:f>Assumptions!$E$5</x:f>
        <x:v>0</x:v>
      </x:c>
      <x:c r="E16" s="70" t="n">
        <x:f>Assumptions!$E$5</x:f>
        <x:v>0</x:v>
      </x:c>
      <x:c r="F16" s="70" t="n">
        <x:f>Assumptions!$E$5</x:f>
        <x:v>0</x:v>
      </x:c>
      <x:c r="G16" s="70" t="n">
        <x:f>Assumptions!$E$5</x:f>
        <x:v>0</x:v>
      </x:c>
      <x:c r="H16" s="70" t="n">
        <x:f>Assumptions!$E$5</x:f>
        <x:v>0</x:v>
      </x:c>
      <x:c r="I16" s="70" t="n">
        <x:f>Assumptions!$E$5</x:f>
        <x:v>0</x:v>
      </x:c>
      <x:c r="J16" s="70" t="n">
        <x:f>Assumptions!$E$5</x:f>
        <x:v>0</x:v>
      </x:c>
      <x:c r="K16" s="70" t="n">
        <x:f>Assumptions!$E$5</x:f>
        <x:v>0</x:v>
      </x:c>
      <x:c r="L16" s="70" t="n">
        <x:f>Assumptions!$E$5</x:f>
        <x:v>0</x:v>
      </x:c>
      <x:c r="M16" s="70" t="n">
        <x:f>Assumptions!$E$5</x:f>
        <x:v>0</x:v>
      </x:c>
    </x:row>
    <x:row r="17">
      <x:c r="A17" t="str">
        <x:v>Foreign teacher accommodation</x:v>
      </x:c>
      <x:c r="B17" s="70" t="n">
        <x:f>Assumptions!$E$6</x:f>
        <x:v>0</x:v>
      </x:c>
      <x:c r="C17" s="70" t="n">
        <x:f>Assumptions!$E$6</x:f>
        <x:v>0</x:v>
      </x:c>
      <x:c r="D17" s="70" t="n">
        <x:f>Assumptions!$E$6</x:f>
        <x:v>0</x:v>
      </x:c>
      <x:c r="E17" s="70" t="n">
        <x:f>Assumptions!$E$6</x:f>
        <x:v>0</x:v>
      </x:c>
      <x:c r="F17" s="70" t="n">
        <x:f>Assumptions!$E$6</x:f>
        <x:v>0</x:v>
      </x:c>
      <x:c r="G17" s="70" t="n">
        <x:f>Assumptions!$E$6</x:f>
        <x:v>0</x:v>
      </x:c>
      <x:c r="H17" s="70" t="n">
        <x:f>Assumptions!$E$6</x:f>
        <x:v>0</x:v>
      </x:c>
      <x:c r="I17" s="70" t="n">
        <x:f>Assumptions!$E$6</x:f>
        <x:v>0</x:v>
      </x:c>
      <x:c r="J17" s="70" t="n">
        <x:f>Assumptions!$E$6</x:f>
        <x:v>0</x:v>
      </x:c>
      <x:c r="K17" s="70" t="n">
        <x:f>Assumptions!$E$6</x:f>
        <x:v>0</x:v>
      </x:c>
      <x:c r="L17" s="70" t="n">
        <x:f>Assumptions!$E$6</x:f>
        <x:v>0</x:v>
      </x:c>
      <x:c r="M17" s="70" t="n">
        <x:f>Assumptions!$E$6</x:f>
        <x:v>0</x:v>
      </x:c>
    </x:row>
    <x:row r="18">
      <x:c r="A18" t="str">
        <x:v>Salaries</x:v>
      </x:c>
      <x:c r="B18" s="70" t="n">
        <x:f>Assumptions!$E$7</x:f>
        <x:v>0</x:v>
      </x:c>
      <x:c r="C18" s="70" t="n">
        <x:f>Assumptions!$E$7</x:f>
        <x:v>0</x:v>
      </x:c>
      <x:c r="D18" s="70" t="n">
        <x:f>Assumptions!$E$7</x:f>
        <x:v>0</x:v>
      </x:c>
      <x:c r="E18" s="70" t="n">
        <x:f>Assumptions!$E$7</x:f>
        <x:v>0</x:v>
      </x:c>
      <x:c r="F18" s="70" t="n">
        <x:f>Assumptions!$E$7</x:f>
        <x:v>0</x:v>
      </x:c>
      <x:c r="G18" s="70" t="n">
        <x:f>Assumptions!$E$7</x:f>
        <x:v>0</x:v>
      </x:c>
      <x:c r="H18" s="70" t="n">
        <x:f>Assumptions!$E$7</x:f>
        <x:v>0</x:v>
      </x:c>
      <x:c r="I18" s="70" t="n">
        <x:f>Assumptions!$E$7</x:f>
        <x:v>0</x:v>
      </x:c>
      <x:c r="J18" s="70" t="n">
        <x:f>Assumptions!$E$7</x:f>
        <x:v>0</x:v>
      </x:c>
      <x:c r="K18" s="70" t="n">
        <x:f>Assumptions!$E$7</x:f>
        <x:v>0</x:v>
      </x:c>
      <x:c r="L18" s="70" t="n">
        <x:f>Assumptions!$E$7</x:f>
        <x:v>0</x:v>
      </x:c>
      <x:c r="M18" s="70" t="n">
        <x:f>Assumptions!$E$7</x:f>
        <x:v>0</x:v>
      </x:c>
    </x:row>
    <x:row r="19">
      <x:c r="A19" t="str">
        <x:v>Electricity</x:v>
      </x:c>
      <x:c r="B19" s="70" t="n">
        <x:f>Assumptions!$E$8</x:f>
        <x:v>0</x:v>
      </x:c>
      <x:c r="C19" s="70" t="n">
        <x:f>Assumptions!$E$8</x:f>
        <x:v>0</x:v>
      </x:c>
      <x:c r="D19" s="70" t="n">
        <x:f>Assumptions!$E$8</x:f>
        <x:v>0</x:v>
      </x:c>
      <x:c r="E19" s="70" t="n">
        <x:f>Assumptions!$E$8</x:f>
        <x:v>0</x:v>
      </x:c>
      <x:c r="F19" s="70" t="n">
        <x:f>Assumptions!$E$8</x:f>
        <x:v>0</x:v>
      </x:c>
      <x:c r="G19" s="70" t="n">
        <x:f>Assumptions!$E$8</x:f>
        <x:v>0</x:v>
      </x:c>
      <x:c r="H19" s="70" t="n">
        <x:f>Assumptions!$E$8</x:f>
        <x:v>0</x:v>
      </x:c>
      <x:c r="I19" s="70" t="n">
        <x:f>Assumptions!$E$8</x:f>
        <x:v>0</x:v>
      </x:c>
      <x:c r="J19" s="70" t="n">
        <x:f>Assumptions!$E$8</x:f>
        <x:v>0</x:v>
      </x:c>
      <x:c r="K19" s="70" t="n">
        <x:f>Assumptions!$E$8</x:f>
        <x:v>0</x:v>
      </x:c>
      <x:c r="L19" s="70" t="n">
        <x:f>Assumptions!$E$8</x:f>
        <x:v>0</x:v>
      </x:c>
      <x:c r="M19" s="70" t="n">
        <x:f>Assumptions!$E$8</x:f>
        <x:v>0</x:v>
      </x:c>
    </x:row>
    <x:row r="20">
      <x:c r="A20" t="str">
        <x:v>Water</x:v>
      </x:c>
      <x:c r="B20" s="70" t="n">
        <x:f>Assumptions!$E$9</x:f>
        <x:v>0</x:v>
      </x:c>
      <x:c r="C20" s="70" t="n">
        <x:f>Assumptions!$E$9</x:f>
        <x:v>0</x:v>
      </x:c>
      <x:c r="D20" s="70" t="n">
        <x:f>Assumptions!$E$9</x:f>
        <x:v>0</x:v>
      </x:c>
      <x:c r="E20" s="70" t="n">
        <x:f>Assumptions!$E$9</x:f>
        <x:v>0</x:v>
      </x:c>
      <x:c r="F20" s="70" t="n">
        <x:f>Assumptions!$E$9</x:f>
        <x:v>0</x:v>
      </x:c>
      <x:c r="G20" s="70" t="n">
        <x:f>Assumptions!$E$9</x:f>
        <x:v>0</x:v>
      </x:c>
      <x:c r="H20" s="70" t="n">
        <x:f>Assumptions!$E$9</x:f>
        <x:v>0</x:v>
      </x:c>
      <x:c r="I20" s="70" t="n">
        <x:f>Assumptions!$E$9</x:f>
        <x:v>0</x:v>
      </x:c>
      <x:c r="J20" s="70" t="n">
        <x:f>Assumptions!$E$9</x:f>
        <x:v>0</x:v>
      </x:c>
      <x:c r="K20" s="70" t="n">
        <x:f>Assumptions!$E$9</x:f>
        <x:v>0</x:v>
      </x:c>
      <x:c r="L20" s="70" t="n">
        <x:f>Assumptions!$E$9</x:f>
        <x:v>0</x:v>
      </x:c>
      <x:c r="M20" s="70" t="n">
        <x:f>Assumptions!$E$9</x:f>
        <x:v>0</x:v>
      </x:c>
    </x:row>
    <x:row r="21">
      <x:c r="A21" t="str">
        <x:v>Internet</x:v>
      </x:c>
      <x:c r="B21" s="70" t="n">
        <x:f>Assumptions!$E$10</x:f>
        <x:v>0</x:v>
      </x:c>
      <x:c r="C21" s="70" t="n">
        <x:f>Assumptions!$E$10</x:f>
        <x:v>0</x:v>
      </x:c>
      <x:c r="D21" s="70" t="n">
        <x:f>Assumptions!$E$10</x:f>
        <x:v>0</x:v>
      </x:c>
      <x:c r="E21" s="70" t="n">
        <x:f>Assumptions!$E$10</x:f>
        <x:v>0</x:v>
      </x:c>
      <x:c r="F21" s="70" t="n">
        <x:f>Assumptions!$E$10</x:f>
        <x:v>0</x:v>
      </x:c>
      <x:c r="G21" s="70" t="n">
        <x:f>Assumptions!$E$10</x:f>
        <x:v>0</x:v>
      </x:c>
      <x:c r="H21" s="70" t="n">
        <x:f>Assumptions!$E$10</x:f>
        <x:v>0</x:v>
      </x:c>
      <x:c r="I21" s="70" t="n">
        <x:f>Assumptions!$E$10</x:f>
        <x:v>0</x:v>
      </x:c>
      <x:c r="J21" s="70" t="n">
        <x:f>Assumptions!$E$10</x:f>
        <x:v>0</x:v>
      </x:c>
      <x:c r="K21" s="70" t="n">
        <x:f>Assumptions!$E$10</x:f>
        <x:v>0</x:v>
      </x:c>
      <x:c r="L21" s="70" t="n">
        <x:f>Assumptions!$E$10</x:f>
        <x:v>0</x:v>
      </x:c>
      <x:c r="M21" s="70" t="n">
        <x:f>Assumptions!$E$10</x:f>
        <x:v>0</x:v>
      </x:c>
    </x:row>
    <x:row r="22">
      <x:c r="A22" t="str">
        <x:v>Trash</x:v>
      </x:c>
      <x:c r="B22" s="70" t="n">
        <x:f>Assumptions!$E$11</x:f>
        <x:v>0</x:v>
      </x:c>
      <x:c r="C22" s="70" t="n">
        <x:f>Assumptions!$E$11</x:f>
        <x:v>0</x:v>
      </x:c>
      <x:c r="D22" s="70" t="n">
        <x:f>Assumptions!$E$11</x:f>
        <x:v>0</x:v>
      </x:c>
      <x:c r="E22" s="70" t="n">
        <x:f>Assumptions!$E$11</x:f>
        <x:v>0</x:v>
      </x:c>
      <x:c r="F22" s="70" t="n">
        <x:f>Assumptions!$E$11</x:f>
        <x:v>0</x:v>
      </x:c>
      <x:c r="G22" s="70" t="n">
        <x:f>Assumptions!$E$11</x:f>
        <x:v>0</x:v>
      </x:c>
      <x:c r="H22" s="70" t="n">
        <x:f>Assumptions!$E$11</x:f>
        <x:v>0</x:v>
      </x:c>
      <x:c r="I22" s="70" t="n">
        <x:f>Assumptions!$E$11</x:f>
        <x:v>0</x:v>
      </x:c>
      <x:c r="J22" s="70" t="n">
        <x:f>Assumptions!$E$11</x:f>
        <x:v>0</x:v>
      </x:c>
      <x:c r="K22" s="70" t="n">
        <x:f>Assumptions!$E$11</x:f>
        <x:v>0</x:v>
      </x:c>
      <x:c r="L22" s="70" t="n">
        <x:f>Assumptions!$E$11</x:f>
        <x:v>0</x:v>
      </x:c>
      <x:c r="M22" s="70" t="n">
        <x:f>Assumptions!$E$11</x:f>
        <x:v>0</x:v>
      </x:c>
    </x:row>
    <x:row r="23">
      <x:c r="A23" t="str">
        <x:v>Marketing &amp; admissions</x:v>
      </x:c>
      <x:c r="B23" s="70" t="n">
        <x:f>Assumptions!$E$12</x:f>
        <x:v>0</x:v>
      </x:c>
      <x:c r="C23" s="70" t="n">
        <x:f>Assumptions!$E$12</x:f>
        <x:v>0</x:v>
      </x:c>
      <x:c r="D23" s="70" t="n">
        <x:f>Assumptions!$E$12</x:f>
        <x:v>0</x:v>
      </x:c>
      <x:c r="E23" s="70" t="n">
        <x:f>Assumptions!$E$12</x:f>
        <x:v>0</x:v>
      </x:c>
      <x:c r="F23" s="70" t="n">
        <x:f>Assumptions!$E$12</x:f>
        <x:v>0</x:v>
      </x:c>
      <x:c r="G23" s="70" t="n">
        <x:f>Assumptions!$E$12</x:f>
        <x:v>0</x:v>
      </x:c>
      <x:c r="H23" s="70" t="n">
        <x:f>Assumptions!$E$12</x:f>
        <x:v>0</x:v>
      </x:c>
      <x:c r="I23" s="70" t="n">
        <x:f>Assumptions!$E$12</x:f>
        <x:v>0</x:v>
      </x:c>
      <x:c r="J23" s="70" t="n">
        <x:f>Assumptions!$E$12</x:f>
        <x:v>0</x:v>
      </x:c>
      <x:c r="K23" s="70" t="n">
        <x:f>Assumptions!$E$12</x:f>
        <x:v>0</x:v>
      </x:c>
      <x:c r="L23" s="70" t="n">
        <x:f>Assumptions!$E$12</x:f>
        <x:v>0</x:v>
      </x:c>
      <x:c r="M23" s="70" t="n">
        <x:f>Assumptions!$E$12</x:f>
        <x:v>0</x:v>
      </x:c>
    </x:row>
    <x:row r="24">
      <x:c r="A24" t="str">
        <x:v>Teaching materials</x:v>
      </x:c>
      <x:c r="B24" s="70" t="n">
        <x:f>Assumptions!$E$13</x:f>
        <x:v>0</x:v>
      </x:c>
      <x:c r="C24" s="70" t="n">
        <x:f>Assumptions!$E$13</x:f>
        <x:v>0</x:v>
      </x:c>
      <x:c r="D24" s="70" t="n">
        <x:f>Assumptions!$E$13</x:f>
        <x:v>0</x:v>
      </x:c>
      <x:c r="E24" s="70" t="n">
        <x:f>Assumptions!$E$13</x:f>
        <x:v>0</x:v>
      </x:c>
      <x:c r="F24" s="70" t="n">
        <x:f>Assumptions!$E$13</x:f>
        <x:v>0</x:v>
      </x:c>
      <x:c r="G24" s="70" t="n">
        <x:f>Assumptions!$E$13</x:f>
        <x:v>0</x:v>
      </x:c>
      <x:c r="H24" s="70" t="n">
        <x:f>Assumptions!$E$13</x:f>
        <x:v>0</x:v>
      </x:c>
      <x:c r="I24" s="70" t="n">
        <x:f>Assumptions!$E$13</x:f>
        <x:v>0</x:v>
      </x:c>
      <x:c r="J24" s="70" t="n">
        <x:f>Assumptions!$E$13</x:f>
        <x:v>0</x:v>
      </x:c>
      <x:c r="K24" s="70" t="n">
        <x:f>Assumptions!$E$13</x:f>
        <x:v>0</x:v>
      </x:c>
      <x:c r="L24" s="70" t="n">
        <x:f>Assumptions!$E$13</x:f>
        <x:v>0</x:v>
      </x:c>
      <x:c r="M24" s="70" t="n">
        <x:f>Assumptions!$E$13</x:f>
        <x:v>0</x:v>
      </x:c>
    </x:row>
    <x:row r="25">
      <x:c r="A25" t="str">
        <x:v>Maintenance &amp; contingency</x:v>
      </x:c>
      <x:c r="B25" s="70" t="n">
        <x:f>Assumptions!$E$14</x:f>
        <x:v>0</x:v>
      </x:c>
      <x:c r="C25" s="70" t="n">
        <x:f>Assumptions!$E$14</x:f>
        <x:v>0</x:v>
      </x:c>
      <x:c r="D25" s="70" t="n">
        <x:f>Assumptions!$E$14</x:f>
        <x:v>0</x:v>
      </x:c>
      <x:c r="E25" s="70" t="n">
        <x:f>Assumptions!$E$14</x:f>
        <x:v>0</x:v>
      </x:c>
      <x:c r="F25" s="70" t="n">
        <x:f>Assumptions!$E$14</x:f>
        <x:v>0</x:v>
      </x:c>
      <x:c r="G25" s="70" t="n">
        <x:f>Assumptions!$E$14</x:f>
        <x:v>0</x:v>
      </x:c>
      <x:c r="H25" s="70" t="n">
        <x:f>Assumptions!$E$14</x:f>
        <x:v>0</x:v>
      </x:c>
      <x:c r="I25" s="70" t="n">
        <x:f>Assumptions!$E$14</x:f>
        <x:v>0</x:v>
      </x:c>
      <x:c r="J25" s="70" t="n">
        <x:f>Assumptions!$E$14</x:f>
        <x:v>0</x:v>
      </x:c>
      <x:c r="K25" s="70" t="n">
        <x:f>Assumptions!$E$14</x:f>
        <x:v>0</x:v>
      </x:c>
      <x:c r="L25" s="70" t="n">
        <x:f>Assumptions!$E$14</x:f>
        <x:v>0</x:v>
      </x:c>
      <x:c r="M25" s="70" t="n">
        <x:f>Assumptions!$E$14</x:f>
        <x:v>0</x:v>
      </x:c>
    </x:row>
    <x:row r="26">
      <x:c r="A26" t="str">
        <x:v>Total expenses</x:v>
      </x:c>
      <x:c r="B26" s="70" t="n">
        <x:f>SUM(B16:B25)</x:f>
        <x:v>0</x:v>
      </x:c>
      <x:c r="C26" s="70" t="n">
        <x:f>SUM(C16:C25)</x:f>
        <x:v>0</x:v>
      </x:c>
      <x:c r="D26" s="70" t="n">
        <x:f>SUM(D16:D25)</x:f>
        <x:v>0</x:v>
      </x:c>
      <x:c r="E26" s="70" t="n">
        <x:f>SUM(E16:E25)</x:f>
        <x:v>0</x:v>
      </x:c>
      <x:c r="F26" s="70" t="n">
        <x:f>SUM(F16:F25)</x:f>
        <x:v>0</x:v>
      </x:c>
      <x:c r="G26" s="70" t="n">
        <x:f>SUM(G16:G25)</x:f>
        <x:v>0</x:v>
      </x:c>
      <x:c r="H26" s="70" t="n">
        <x:f>SUM(H16:H25)</x:f>
        <x:v>0</x:v>
      </x:c>
      <x:c r="I26" s="70" t="n">
        <x:f>SUM(I16:I25)</x:f>
        <x:v>0</x:v>
      </x:c>
      <x:c r="J26" s="70" t="n">
        <x:f>SUM(J16:J25)</x:f>
        <x:v>0</x:v>
      </x:c>
      <x:c r="K26" s="70" t="n">
        <x:f>SUM(K16:K25)</x:f>
        <x:v>0</x:v>
      </x:c>
      <x:c r="L26" s="70" t="n">
        <x:f>SUM(L16:L25)</x:f>
        <x:v>0</x:v>
      </x:c>
      <x:c r="M26" s="70" t="n">
        <x:f>SUM(M16:M25)</x:f>
        <x:v>0</x:v>
      </x:c>
    </x:row>
    <x:row r="27">
      <x:c r="A27" t="str">
        <x:v>Net cash flow</x:v>
      </x:c>
      <x:c r="B27" s="70" t="n">
        <x:f>B13-B26</x:f>
        <x:v>3926.25</x:v>
      </x:c>
      <x:c r="C27" s="70" t="n">
        <x:f>C13-C26</x:f>
        <x:v>4353.75</x:v>
      </x:c>
      <x:c r="D27" s="70" t="n">
        <x:f>D13-D26</x:f>
        <x:v>4852.5</x:v>
      </x:c>
      <x:c r="E27" s="70" t="n">
        <x:f>E13-E26</x:f>
        <x:v>5422.5</x:v>
      </x:c>
      <x:c r="F27" s="70" t="n">
        <x:f>F13-F26</x:f>
        <x:v>5992.5</x:v>
      </x:c>
      <x:c r="G27" s="70" t="n">
        <x:f>G13-G26</x:f>
        <x:v>6562.5</x:v>
      </x:c>
      <x:c r="H27" s="70" t="n">
        <x:f>H13-H26</x:f>
        <x:v>7061.25</x:v>
      </x:c>
      <x:c r="I27" s="70" t="n">
        <x:f>I13-I26</x:f>
        <x:v>7560</x:v>
      </x:c>
      <x:c r="J27" s="70" t="n">
        <x:f>J13-J26</x:f>
        <x:v>7987.5</x:v>
      </x:c>
      <x:c r="K27" s="70" t="n">
        <x:f>K13-K26</x:f>
        <x:v>8343.75</x:v>
      </x:c>
      <x:c r="L27" s="70" t="n">
        <x:f>L13-L26</x:f>
        <x:v>8700</x:v>
      </x:c>
      <x:c r="M27" s="70" t="n">
        <x:f>M13-M26</x:f>
        <x:v>9056.25</x:v>
      </x:c>
    </x:row>
    <x:row r="28">
      <x:c r="A28" t="str">
        <x:v>Ending cash balance</x:v>
      </x:c>
      <x:c r="B28" s="70" t="n">
        <x:f>B27</x:f>
        <x:v>3926.25</x:v>
      </x:c>
      <x:c r="C28" s="70" t="n">
        <x:f>B28+C27</x:f>
        <x:v>8280</x:v>
      </x:c>
      <x:c r="D28" s="70" t="n">
        <x:f>C28+D27</x:f>
        <x:v>13132.5</x:v>
      </x:c>
      <x:c r="E28" s="70" t="n">
        <x:f>D28+E27</x:f>
        <x:v>18555</x:v>
      </x:c>
      <x:c r="F28" s="70" t="n">
        <x:f>E28+F27</x:f>
        <x:v>24547.5</x:v>
      </x:c>
      <x:c r="G28" s="70" t="n">
        <x:f>F28+G27</x:f>
        <x:v>31110</x:v>
      </x:c>
      <x:c r="H28" s="70" t="n">
        <x:f>G28+H27</x:f>
        <x:v>38171.25</x:v>
      </x:c>
      <x:c r="I28" s="70" t="n">
        <x:f>H28+I27</x:f>
        <x:v>45731.25</x:v>
      </x:c>
      <x:c r="J28" s="70" t="n">
        <x:f>I28+J27</x:f>
        <x:v>53718.75</x:v>
      </x:c>
      <x:c r="K28" s="70" t="n">
        <x:f>J28+K27</x:f>
        <x:v>62062.5</x:v>
      </x:c>
      <x:c r="L28" s="70" t="n">
        <x:f>K28+L27</x:f>
        <x:v>70762.5</x:v>
      </x:c>
      <x:c r="M28" s="70" t="n">
        <x:f>L28+M27</x:f>
        <x:v>79818.75</x:v>
      </x:c>
    </x:row>
  </x:sheetData>
  <x:mergeCells>
    <x:mergeCell ref="A1:N1"/>
    <x:mergeCell ref="A2:N2"/>
    <x:mergeCell ref="A5:M5"/>
    <x:mergeCell ref="A15:M15"/>
    <x:mergeCell ref="O4:P4"/>
  </x:mergeCells>
  <x:conditionalFormatting sqref="B28:M28">
    <x:cfRule type="expression" dxfId="0" priority="1">
      <x:formula>B28&lt;0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2" customHeight="1">
      <x:c r="A1" s="6" t="str">
        <x:v>New Hope Startup Dashboard</x:v>
      </x:c>
      <x:c r="B1" s="6"/>
      <x:c r="C1" s="6"/>
      <x:c r="D1" s="6"/>
      <x:c r="E1" s="6"/>
      <x:c r="F1" s="6"/>
      <x:c r="G1" s="6"/>
      <x:c r="H1" s="6"/>
    </x:row>
    <x:row r="2" ht="22" customHeight="1">
      <x:c r="A2" s="14" t="str">
        <x:v>A quick view of funding, enrollment, and break-even status. Update expense assumptions first if you want break-even to calculate.</x:v>
      </x:c>
      <x:c r="B2" s="14"/>
      <x:c r="C2" s="14"/>
      <x:c r="D2" s="14"/>
      <x:c r="E2" s="14"/>
      <x:c r="F2" s="14"/>
      <x:c r="G2" s="14"/>
      <x:c r="H2" s="14"/>
    </x:row>
    <x:row r="4">
      <x:c r="A4" s="79" t="str">
        <x:v>Current admitted students</x:v>
      </x:c>
      <x:c r="B4" s="64" t="n">
        <x:f>Assumptions!$B$9</x:f>
        <x:v>8</x:v>
      </x:c>
      <x:c r="D4" s="22" t="str">
        <x:v>12-Month Trend Snapshot</x:v>
      </x:c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</x:row>
    <x:row r="5">
      <x:c r="A5" s="79" t="str">
        <x:v>Average tuition / student</x:v>
      </x:c>
      <x:c r="B5" s="66" t="n">
        <x:f>Assumptions!$B$7</x:f>
        <x:v>75</x:v>
      </x:c>
      <x:c r="C5" s="104"/>
      <x:c r="D5" s="99" t="str">
        <x:v>M1</x:v>
      </x:c>
      <x:c r="E5" s="99" t="str">
        <x:v>M2</x:v>
      </x:c>
      <x:c r="F5" s="99" t="str">
        <x:v>M3</x:v>
      </x:c>
      <x:c r="G5" s="99" t="str">
        <x:v>M4</x:v>
      </x:c>
      <x:c r="H5" s="99" t="str">
        <x:v>M5</x:v>
      </x:c>
      <x:c r="I5" s="99" t="str">
        <x:v>M6</x:v>
      </x:c>
      <x:c r="J5" s="99" t="str">
        <x:v>M7</x:v>
      </x:c>
      <x:c r="K5" s="99" t="str">
        <x:v>M8</x:v>
      </x:c>
      <x:c r="L5" s="99" t="str">
        <x:v>M9</x:v>
      </x:c>
      <x:c r="M5" s="99" t="str">
        <x:v>M10</x:v>
      </x:c>
      <x:c r="N5" s="99" t="str">
        <x:v>M11</x:v>
      </x:c>
      <x:c r="O5" s="99" t="str">
        <x:v>M12</x:v>
      </x:c>
    </x:row>
    <x:row r="6">
      <x:c r="A6" s="79" t="str">
        <x:v>Monthly owner funding</x:v>
      </x:c>
      <x:c r="B6" s="66" t="n">
        <x:f>Assumptions!$B$6</x:f>
        <x:v>3000</x:v>
      </x:c>
      <x:c r="C6" s="105" t="str">
        <x:v>Ending students</x:v>
      </x:c>
      <x:c r="D6" s="106" t="n">
        <x:f>'12M_Forecast'!B8</x:f>
        <x:v>13</x:v>
      </x:c>
      <x:c r="E6" s="106" t="n">
        <x:f>'12M_Forecast'!C8</x:f>
        <x:v>19</x:v>
      </x:c>
      <x:c r="F6" s="106" t="n">
        <x:f>'12M_Forecast'!D8</x:f>
        <x:v>26</x:v>
      </x:c>
      <x:c r="G6" s="106" t="n">
        <x:f>'12M_Forecast'!E8</x:f>
        <x:v>34</x:v>
      </x:c>
      <x:c r="H6" s="106" t="n">
        <x:f>'12M_Forecast'!F8</x:f>
        <x:v>42</x:v>
      </x:c>
      <x:c r="I6" s="106" t="n">
        <x:f>'12M_Forecast'!G8</x:f>
        <x:v>50</x:v>
      </x:c>
      <x:c r="J6" s="106" t="n">
        <x:f>'12M_Forecast'!H8</x:f>
        <x:v>57</x:v>
      </x:c>
      <x:c r="K6" s="106" t="n">
        <x:f>'12M_Forecast'!I8</x:f>
        <x:v>64</x:v>
      </x:c>
      <x:c r="L6" s="106" t="n">
        <x:f>'12M_Forecast'!J8</x:f>
        <x:v>70</x:v>
      </x:c>
      <x:c r="M6" s="106" t="n">
        <x:f>'12M_Forecast'!K8</x:f>
        <x:v>75</x:v>
      </x:c>
      <x:c r="N6" s="106" t="n">
        <x:f>'12M_Forecast'!L8</x:f>
        <x:v>80</x:v>
      </x:c>
      <x:c r="O6" s="106" t="n">
        <x:f>'12M_Forecast'!M8</x:f>
        <x:v>85</x:v>
      </x:c>
    </x:row>
    <x:row r="7">
      <x:c r="A7" s="79" t="str">
        <x:v>Break-even students</x:v>
      </x:c>
      <x:c r="B7" s="64" t="str">
        <x:f>'12M_Forecast'!$P$8</x:f>
        <x:v>Enter expense assumptions</x:v>
      </x:c>
      <x:c r="C7" s="105" t="str">
        <x:v>Ending cash</x:v>
      </x:c>
      <x:c r="D7" s="107" t="n">
        <x:f>'12M_Forecast'!B28</x:f>
        <x:v>3926.25</x:v>
      </x:c>
      <x:c r="E7" s="107" t="n">
        <x:f>'12M_Forecast'!C28</x:f>
        <x:v>8280</x:v>
      </x:c>
      <x:c r="F7" s="107" t="n">
        <x:f>'12M_Forecast'!D28</x:f>
        <x:v>13132.5</x:v>
      </x:c>
      <x:c r="G7" s="107" t="n">
        <x:f>'12M_Forecast'!E28</x:f>
        <x:v>18555</x:v>
      </x:c>
      <x:c r="H7" s="107" t="n">
        <x:f>'12M_Forecast'!F28</x:f>
        <x:v>24547.5</x:v>
      </x:c>
      <x:c r="I7" s="107" t="n">
        <x:f>'12M_Forecast'!G28</x:f>
        <x:v>31110</x:v>
      </x:c>
      <x:c r="J7" s="107" t="n">
        <x:f>'12M_Forecast'!H28</x:f>
        <x:v>38171.25</x:v>
      </x:c>
      <x:c r="K7" s="107" t="n">
        <x:f>'12M_Forecast'!I28</x:f>
        <x:v>45731.25</x:v>
      </x:c>
      <x:c r="L7" s="107" t="n">
        <x:f>'12M_Forecast'!J28</x:f>
        <x:v>53718.75</x:v>
      </x:c>
      <x:c r="M7" s="107" t="n">
        <x:f>'12M_Forecast'!K28</x:f>
        <x:v>62062.5</x:v>
      </x:c>
      <x:c r="N7" s="107" t="n">
        <x:f>'12M_Forecast'!L28</x:f>
        <x:v>70762.5</x:v>
      </x:c>
      <x:c r="O7" s="107" t="n">
        <x:f>'12M_Forecast'!M28</x:f>
        <x:v>79818.75</x:v>
      </x:c>
    </x:row>
    <x:row r="8">
      <x:c r="A8" s="79" t="str">
        <x:v>Ending cash balance (Month 12)</x:v>
      </x:c>
      <x:c r="B8" s="66" t="n">
        <x:f>'12M_Forecast'!$M$28</x:f>
        <x:v>79818.75</x:v>
      </x:c>
    </x:row>
    <x:row r="9">
      <x:c r="A9" s="79" t="str">
        <x:v>Month 1 income</x:v>
      </x:c>
      <x:c r="B9" s="66" t="n">
        <x:f>'12M_Forecast'!$B$13</x:f>
        <x:v>3926.25</x:v>
      </x:c>
    </x:row>
  </x:sheetData>
  <x:mergeCells>
    <x:mergeCell ref="A1:H1"/>
    <x:mergeCell ref="A2:H2"/>
    <x:mergeCell ref="D4:O4"/>
  </x:mergeCells>
  <x:pageMargins left="0.7" right="0.7" top="0.75" bottom="0.75" header="0.3" footer="0.3"/>
</x:worksheet>
</file>